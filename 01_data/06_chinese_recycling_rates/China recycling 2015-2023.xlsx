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uissarmiento/Dropbox (Personal)/DIW/material_imbalance/01_data/06_chinese recycling rates/"/>
    </mc:Choice>
  </mc:AlternateContent>
  <xr:revisionPtr revIDLastSave="0" documentId="13_ncr:1_{D989A8D2-001D-4F4B-A66F-81CF6742E3BC}" xr6:coauthVersionLast="47" xr6:coauthVersionMax="47" xr10:uidLastSave="{00000000-0000-0000-0000-000000000000}"/>
  <bookViews>
    <workbookView xWindow="4720" yWindow="500" windowWidth="25600" windowHeight="14260" activeTab="1" xr2:uid="{F29099E7-B0A0-4ECD-ADB6-7C21FC18A202}"/>
  </bookViews>
  <sheets>
    <sheet name="recyling quantity" sheetId="1" r:id="rId1"/>
    <sheet name="Sheet1" sheetId="3" r:id="rId2"/>
    <sheet name="recyling amou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9" i="1" l="1"/>
  <c r="N29" i="1"/>
  <c r="M28" i="1"/>
  <c r="N28" i="1"/>
  <c r="M26" i="1"/>
  <c r="N26" i="1"/>
  <c r="M24" i="1"/>
  <c r="N24" i="1"/>
  <c r="C39" i="1"/>
  <c r="D39" i="1"/>
  <c r="E39" i="1"/>
  <c r="F39" i="1"/>
  <c r="G39" i="1"/>
  <c r="H39" i="1"/>
  <c r="I39" i="1"/>
  <c r="J39" i="1"/>
  <c r="K39" i="1"/>
  <c r="L39" i="1"/>
  <c r="M39" i="1"/>
  <c r="N39" i="1"/>
  <c r="B39" i="1"/>
  <c r="C38" i="1"/>
  <c r="D38" i="1"/>
  <c r="E38" i="1"/>
  <c r="F38" i="1"/>
  <c r="G38" i="1"/>
  <c r="H38" i="1"/>
  <c r="I38" i="1"/>
  <c r="J38" i="1"/>
  <c r="K38" i="1"/>
  <c r="L38" i="1"/>
  <c r="M38" i="1"/>
  <c r="N38" i="1"/>
  <c r="B38" i="1"/>
  <c r="M23" i="1"/>
  <c r="N23" i="1"/>
  <c r="L29" i="1"/>
  <c r="L28" i="1"/>
  <c r="L26" i="1"/>
  <c r="L24" i="1"/>
  <c r="L23" i="1"/>
  <c r="K29" i="1"/>
  <c r="K28" i="1"/>
  <c r="K26" i="1"/>
  <c r="K24" i="1"/>
  <c r="K23" i="1"/>
  <c r="G28" i="1"/>
  <c r="H28" i="1"/>
  <c r="I28" i="1"/>
  <c r="J28" i="1"/>
  <c r="G26" i="1"/>
  <c r="H26" i="1"/>
  <c r="I26" i="1"/>
  <c r="J26" i="1"/>
  <c r="G24" i="1"/>
  <c r="G29" i="1" s="1"/>
  <c r="H24" i="1"/>
  <c r="I24" i="1"/>
  <c r="J24" i="1"/>
  <c r="F29" i="1"/>
  <c r="H29" i="1"/>
  <c r="I29" i="1"/>
  <c r="H23" i="1"/>
  <c r="I23" i="1"/>
  <c r="J23" i="1"/>
  <c r="G23" i="1"/>
  <c r="J29" i="1" l="1"/>
  <c r="I32" i="1"/>
  <c r="J32" i="1"/>
  <c r="K32" i="1"/>
  <c r="L32" i="1"/>
  <c r="M32" i="1"/>
  <c r="N32" i="1"/>
  <c r="O32" i="1"/>
  <c r="P32" i="1"/>
  <c r="H32" i="1"/>
  <c r="H31" i="1"/>
  <c r="I31" i="1"/>
  <c r="J31" i="1"/>
  <c r="K31" i="1"/>
  <c r="L31" i="1"/>
  <c r="M31" i="1"/>
  <c r="N31" i="1"/>
  <c r="O31" i="1"/>
  <c r="P31" i="1"/>
  <c r="D29" i="1"/>
  <c r="E29" i="1"/>
  <c r="C29" i="1"/>
  <c r="D28" i="1"/>
  <c r="E28" i="1"/>
  <c r="F28" i="1"/>
  <c r="C28" i="1"/>
  <c r="D26" i="1"/>
  <c r="E26" i="1"/>
  <c r="F26" i="1"/>
  <c r="C26" i="1"/>
  <c r="D24" i="1"/>
  <c r="E24" i="1"/>
  <c r="F24" i="1"/>
  <c r="C24" i="1"/>
</calcChain>
</file>

<file path=xl/sharedStrings.xml><?xml version="1.0" encoding="utf-8"?>
<sst xmlns="http://schemas.openxmlformats.org/spreadsheetml/2006/main" count="91" uniqueCount="54">
  <si>
    <t>Recycling quantity of ten main varieties of renewable resources in 2022-2023</t>
  </si>
  <si>
    <t>Name</t>
  </si>
  <si>
    <t>Unit</t>
  </si>
  <si>
    <t>scrap steel</t>
  </si>
  <si>
    <t>10,000 tons</t>
  </si>
  <si>
    <t>incl: Large and medium-sized steel companies</t>
  </si>
  <si>
    <t>incl: Other companies</t>
  </si>
  <si>
    <t>scrap nonferrous metal</t>
  </si>
  <si>
    <t>waste plastic</t>
  </si>
  <si>
    <t>waste paper</t>
  </si>
  <si>
    <t>scrap tires</t>
  </si>
  <si>
    <t>discarded electrical appliances</t>
  </si>
  <si>
    <t>Quantity</t>
  </si>
  <si>
    <t>10,000 units</t>
  </si>
  <si>
    <t>electronic products</t>
  </si>
  <si>
    <t>Weight</t>
  </si>
  <si>
    <t>scrap motor vehicle</t>
  </si>
  <si>
    <t>Waste textiles</t>
  </si>
  <si>
    <t>waste glass</t>
  </si>
  <si>
    <t>Waste batteries (except lead-acid batteries)</t>
  </si>
  <si>
    <t>Total (weight)</t>
  </si>
  <si>
    <t>The recycling amount of ten major types of renewable resources in 2022-2023</t>
  </si>
  <si>
    <t>Unit: billion CNY</t>
  </si>
  <si>
    <t>discarded electrical and electronic appliances</t>
  </si>
  <si>
    <t>Total</t>
  </si>
  <si>
    <t>万吨</t>
  </si>
  <si>
    <t>废塑料</t>
  </si>
  <si>
    <t>废纸</t>
  </si>
  <si>
    <t>废轮胎</t>
  </si>
  <si>
    <t>废弃电器</t>
  </si>
  <si>
    <t>电子产品</t>
  </si>
  <si>
    <t>数量</t>
  </si>
  <si>
    <t>万台</t>
  </si>
  <si>
    <t>重量</t>
  </si>
  <si>
    <t>报废机动车</t>
  </si>
  <si>
    <t>万辆</t>
  </si>
  <si>
    <t>variation</t>
  </si>
  <si>
    <t>Elasticity between factors</t>
  </si>
  <si>
    <t>domestic waste recycling (10K tons)</t>
  </si>
  <si>
    <t>foreign waste recycling (10K tons)</t>
  </si>
  <si>
    <t>total plastic recycling (10K tons)</t>
  </si>
  <si>
    <t>Recycling revenues  (Billion CNY)</t>
  </si>
  <si>
    <t>revenue per ton  (CNY/ton)</t>
  </si>
  <si>
    <t>revenue per ton (EUR/ton)</t>
  </si>
  <si>
    <t>PLASTICS</t>
  </si>
  <si>
    <t>BACI</t>
  </si>
  <si>
    <t>CHN</t>
  </si>
  <si>
    <t>domestic share</t>
  </si>
  <si>
    <t>foreign share</t>
  </si>
  <si>
    <t>F78 miso</t>
  </si>
  <si>
    <t>var</t>
  </si>
  <si>
    <t>share</t>
  </si>
  <si>
    <t>values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</si>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</sst>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)_ ;_ * \(#,##0.00\)_ ;_ * &quot;-&quot;??_)_ ;_ @_ "/>
    <numFmt numFmtId="165" formatCode="0.0"/>
    <numFmt numFmtId="166" formatCode="_ * #,##0_)_ ;_ * \(#,##0\)_ ;_ * &quot;-&quot;??_)_ ;_ @_ "/>
    <numFmt numFmtId="167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rgb="FF191919"/>
      <name val="Georgia"/>
      <family val="1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2" fillId="0" borderId="1" xfId="0" applyFont="1" applyBorder="1"/>
    <xf numFmtId="0" fontId="2" fillId="3" borderId="1" xfId="0" applyFont="1" applyFill="1" applyBorder="1" applyAlignment="1">
      <alignment horizontal="right" vertical="center"/>
    </xf>
    <xf numFmtId="0" fontId="2" fillId="6" borderId="1" xfId="0" applyFont="1" applyFill="1" applyBorder="1"/>
    <xf numFmtId="0" fontId="3" fillId="0" borderId="1" xfId="0" applyFont="1" applyBorder="1"/>
    <xf numFmtId="0" fontId="2" fillId="5" borderId="1" xfId="0" applyFont="1" applyFill="1" applyBorder="1"/>
    <xf numFmtId="0" fontId="4" fillId="4" borderId="1" xfId="0" applyFont="1" applyFill="1" applyBorder="1"/>
    <xf numFmtId="0" fontId="2" fillId="3" borderId="2" xfId="0" applyFont="1" applyFill="1" applyBorder="1" applyAlignment="1">
      <alignment horizontal="right" vertical="center"/>
    </xf>
    <xf numFmtId="0" fontId="2" fillId="6" borderId="3" xfId="0" applyFont="1" applyFill="1" applyBorder="1"/>
    <xf numFmtId="0" fontId="2" fillId="7" borderId="1" xfId="0" applyFont="1" applyFill="1" applyBorder="1"/>
    <xf numFmtId="166" fontId="2" fillId="0" borderId="1" xfId="1" applyNumberFormat="1" applyFont="1" applyBorder="1" applyAlignment="1">
      <alignment horizontal="center"/>
    </xf>
    <xf numFmtId="166" fontId="2" fillId="0" borderId="1" xfId="0" applyNumberFormat="1" applyFont="1" applyBorder="1"/>
    <xf numFmtId="166" fontId="0" fillId="0" borderId="1" xfId="1" applyNumberFormat="1" applyFont="1" applyBorder="1"/>
    <xf numFmtId="0" fontId="3" fillId="7" borderId="1" xfId="0" applyFont="1" applyFill="1" applyBorder="1"/>
    <xf numFmtId="165" fontId="2" fillId="7" borderId="1" xfId="0" applyNumberFormat="1" applyFont="1" applyFill="1" applyBorder="1"/>
    <xf numFmtId="0" fontId="5" fillId="0" borderId="4" xfId="0" applyFont="1" applyBorder="1"/>
    <xf numFmtId="166" fontId="0" fillId="0" borderId="0" xfId="1" applyNumberFormat="1" applyFont="1"/>
    <xf numFmtId="0" fontId="6" fillId="0" borderId="0" xfId="0" applyFont="1"/>
    <xf numFmtId="0" fontId="2" fillId="0" borderId="0" xfId="0" applyFont="1"/>
    <xf numFmtId="0" fontId="2" fillId="8" borderId="1" xfId="0" applyFont="1" applyFill="1" applyBorder="1"/>
    <xf numFmtId="167" fontId="0" fillId="0" borderId="0" xfId="2" applyNumberFormat="1" applyFont="1"/>
    <xf numFmtId="0" fontId="7" fillId="0" borderId="4" xfId="0" applyFont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DOMESTIC vs FOREIGN WASTE</a:t>
            </a:r>
            <a:r>
              <a:rPr lang="fr-FR" baseline="0"/>
              <a:t> RECYCLING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'recyling quantity'!$A$23</c:f>
              <c:strCache>
                <c:ptCount val="1"/>
                <c:pt idx="0">
                  <c:v>domestic waste recycling (10K tons)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'recyling quantity'!$B$21:$N$21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'recyling quantity'!$B$23:$N$23</c:f>
              <c:numCache>
                <c:formatCode>General</c:formatCode>
                <c:ptCount val="13"/>
                <c:pt idx="0">
                  <c:v>1000</c:v>
                </c:pt>
                <c:pt idx="1">
                  <c:v>1200</c:v>
                </c:pt>
                <c:pt idx="2">
                  <c:v>1350</c:v>
                </c:pt>
                <c:pt idx="3">
                  <c:v>1600</c:v>
                </c:pt>
                <c:pt idx="4">
                  <c:v>1366</c:v>
                </c:pt>
                <c:pt idx="5">
                  <c:v>1174.5999999999999</c:v>
                </c:pt>
                <c:pt idx="6">
                  <c:v>1064.5999999999999</c:v>
                </c:pt>
                <c:pt idx="7">
                  <c:v>1143.3</c:v>
                </c:pt>
                <c:pt idx="8">
                  <c:v>1110.0999999999999</c:v>
                </c:pt>
                <c:pt idx="9">
                  <c:v>1824.9</c:v>
                </c:pt>
                <c:pt idx="10">
                  <c:v>1889.91</c:v>
                </c:pt>
                <c:pt idx="11">
                  <c:v>1599.91</c:v>
                </c:pt>
                <c:pt idx="12">
                  <c:v>1899.91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9-524F-A2CD-A307A6F08702}"/>
            </c:ext>
          </c:extLst>
        </c:ser>
        <c:ser>
          <c:idx val="1"/>
          <c:order val="1"/>
          <c:tx>
            <c:strRef>
              <c:f>'recyling quantity'!$A$25</c:f>
              <c:strCache>
                <c:ptCount val="1"/>
                <c:pt idx="0">
                  <c:v>foreign waste recycling (10K tons)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'recyling quantity'!$B$21:$N$21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'recyling quantity'!$B$25:$N$25</c:f>
              <c:numCache>
                <c:formatCode>General</c:formatCode>
                <c:ptCount val="13"/>
                <c:pt idx="0">
                  <c:v>732</c:v>
                </c:pt>
                <c:pt idx="1">
                  <c:v>801</c:v>
                </c:pt>
                <c:pt idx="2">
                  <c:v>838</c:v>
                </c:pt>
                <c:pt idx="3">
                  <c:v>888</c:v>
                </c:pt>
                <c:pt idx="4">
                  <c:v>788.2</c:v>
                </c:pt>
                <c:pt idx="5">
                  <c:v>825.4</c:v>
                </c:pt>
                <c:pt idx="6">
                  <c:v>735.4</c:v>
                </c:pt>
                <c:pt idx="7">
                  <c:v>734.7</c:v>
                </c:pt>
                <c:pt idx="8">
                  <c:v>582.9</c:v>
                </c:pt>
                <c:pt idx="9">
                  <c:v>5.0999999999999996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9-524F-A2CD-A307A6F0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9253487"/>
        <c:axId val="1879255119"/>
      </c:barChart>
      <c:catAx>
        <c:axId val="18792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55119"/>
        <c:crosses val="autoZero"/>
        <c:auto val="1"/>
        <c:lblAlgn val="ctr"/>
        <c:lblOffset val="100"/>
        <c:noMultiLvlLbl val="0"/>
      </c:catAx>
      <c:valAx>
        <c:axId val="18792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5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TOTAL PLASTIC RECYCLING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912905493740138E-2"/>
          <c:y val="0.10632342665201029"/>
          <c:w val="0.91807170035767505"/>
          <c:h val="0.77152894976646491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'recyling quantity'!$A$27</c:f>
              <c:strCache>
                <c:ptCount val="1"/>
                <c:pt idx="0">
                  <c:v>total plastic recycling (10K tons)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'recyling quantity'!$B$21:$P$21</c:f>
              <c:numCache>
                <c:formatCode>General</c:formatCode>
                <c:ptCount val="15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</c:numCache>
            </c:numRef>
          </c:cat>
          <c:val>
            <c:numRef>
              <c:f>'recyling quantity'!$B$27:$P$27</c:f>
              <c:numCache>
                <c:formatCode>General</c:formatCode>
                <c:ptCount val="15"/>
                <c:pt idx="0">
                  <c:v>1732</c:v>
                </c:pt>
                <c:pt idx="1">
                  <c:v>2000</c:v>
                </c:pt>
                <c:pt idx="2">
                  <c:v>2188</c:v>
                </c:pt>
                <c:pt idx="3">
                  <c:v>2488</c:v>
                </c:pt>
                <c:pt idx="4">
                  <c:v>2154</c:v>
                </c:pt>
                <c:pt idx="5">
                  <c:v>2000</c:v>
                </c:pt>
                <c:pt idx="6">
                  <c:v>1800</c:v>
                </c:pt>
                <c:pt idx="7">
                  <c:v>1878</c:v>
                </c:pt>
                <c:pt idx="8">
                  <c:v>1693</c:v>
                </c:pt>
                <c:pt idx="9">
                  <c:v>1830</c:v>
                </c:pt>
                <c:pt idx="10">
                  <c:v>1890</c:v>
                </c:pt>
                <c:pt idx="11">
                  <c:v>1600</c:v>
                </c:pt>
                <c:pt idx="12">
                  <c:v>1900</c:v>
                </c:pt>
                <c:pt idx="13">
                  <c:v>1800</c:v>
                </c:pt>
                <c:pt idx="14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2-384E-8B54-5B574BB28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722543"/>
        <c:axId val="1550974063"/>
      </c:barChart>
      <c:catAx>
        <c:axId val="152972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74063"/>
        <c:crosses val="autoZero"/>
        <c:auto val="1"/>
        <c:lblAlgn val="ctr"/>
        <c:lblOffset val="100"/>
        <c:noMultiLvlLbl val="0"/>
      </c:catAx>
      <c:valAx>
        <c:axId val="15509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72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'recyling quantity'!$A$34</c:f>
              <c:strCache>
                <c:ptCount val="1"/>
                <c:pt idx="0">
                  <c:v>CHN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'recyling quantity'!$B$34:$F$34</c:f>
              <c:numCache>
                <c:formatCode>General</c:formatCode>
                <c:ptCount val="5"/>
                <c:pt idx="0">
                  <c:v>732</c:v>
                </c:pt>
                <c:pt idx="1">
                  <c:v>801</c:v>
                </c:pt>
                <c:pt idx="2">
                  <c:v>838</c:v>
                </c:pt>
                <c:pt idx="3">
                  <c:v>888</c:v>
                </c:pt>
                <c:pt idx="4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6-AE4A-940A-82F51437BC68}"/>
            </c:ext>
          </c:extLst>
        </c:ser>
        <c:ser>
          <c:idx val="1"/>
          <c:order val="1"/>
          <c:tx>
            <c:strRef>
              <c:f>'recyling quantity'!$A$35</c:f>
              <c:strCache>
                <c:ptCount val="1"/>
                <c:pt idx="0">
                  <c:v>BACI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'recyling quantity'!$B$35:$F$35</c:f>
              <c:numCache>
                <c:formatCode>General</c:formatCode>
                <c:ptCount val="5"/>
                <c:pt idx="0">
                  <c:v>360</c:v>
                </c:pt>
                <c:pt idx="1">
                  <c:v>397</c:v>
                </c:pt>
                <c:pt idx="2">
                  <c:v>465</c:v>
                </c:pt>
                <c:pt idx="3">
                  <c:v>452</c:v>
                </c:pt>
                <c:pt idx="4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6-AE4A-940A-82F51437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974015"/>
        <c:axId val="1616408703"/>
      </c:lineChart>
      <c:catAx>
        <c:axId val="161597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408703"/>
        <c:crosses val="autoZero"/>
        <c:auto val="1"/>
        <c:lblAlgn val="ctr"/>
        <c:lblOffset val="100"/>
        <c:noMultiLvlLbl val="0"/>
      </c:catAx>
      <c:valAx>
        <c:axId val="16164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7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Share</a:t>
            </a:r>
            <a:r>
              <a:rPr lang="fr-FR" baseline="0"/>
              <a:t> of domestic waste vs foreign waste in recycling quantities (plastics)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'recyling quantity'!$A$38</c:f>
              <c:strCache>
                <c:ptCount val="1"/>
                <c:pt idx="0">
                  <c:v>domestic share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'recyling quantity'!$B$37:$N$37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'recyling quantity'!$B$38:$N$38</c:f>
              <c:numCache>
                <c:formatCode>0.0%</c:formatCode>
                <c:ptCount val="13"/>
                <c:pt idx="0">
                  <c:v>0.57736720554272514</c:v>
                </c:pt>
                <c:pt idx="1">
                  <c:v>0.6</c:v>
                </c:pt>
                <c:pt idx="2">
                  <c:v>0.61700182815356486</c:v>
                </c:pt>
                <c:pt idx="3">
                  <c:v>0.64308681672025725</c:v>
                </c:pt>
                <c:pt idx="4">
                  <c:v>0.63416898792943366</c:v>
                </c:pt>
                <c:pt idx="5">
                  <c:v>0.58729999999999993</c:v>
                </c:pt>
                <c:pt idx="6">
                  <c:v>0.59144444444444444</c:v>
                </c:pt>
                <c:pt idx="7">
                  <c:v>0.60878594249201279</c:v>
                </c:pt>
                <c:pt idx="8">
                  <c:v>0.65569994093325457</c:v>
                </c:pt>
                <c:pt idx="9">
                  <c:v>0.99721311475409846</c:v>
                </c:pt>
                <c:pt idx="10">
                  <c:v>0.99995238095238104</c:v>
                </c:pt>
                <c:pt idx="11">
                  <c:v>0.99994375000000002</c:v>
                </c:pt>
                <c:pt idx="12">
                  <c:v>0.99995263157894743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0-A749-A9F4-D92E544C4FC8}"/>
            </c:ext>
          </c:extLst>
        </c:ser>
        <c:ser>
          <c:idx val="1"/>
          <c:order val="1"/>
          <c:tx>
            <c:strRef>
              <c:f>'recyling quantity'!$A$39</c:f>
              <c:strCache>
                <c:ptCount val="1"/>
                <c:pt idx="0">
                  <c:v>foreign share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'recyling quantity'!$B$37:$N$37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'recyling quantity'!$B$39:$N$39</c:f>
              <c:numCache>
                <c:formatCode>0.0%</c:formatCode>
                <c:ptCount val="13"/>
                <c:pt idx="0">
                  <c:v>0.42263279445727481</c:v>
                </c:pt>
                <c:pt idx="1">
                  <c:v>0.40050000000000002</c:v>
                </c:pt>
                <c:pt idx="2">
                  <c:v>0.38299817184643509</c:v>
                </c:pt>
                <c:pt idx="3">
                  <c:v>0.35691318327974275</c:v>
                </c:pt>
                <c:pt idx="4">
                  <c:v>0.36592386258124421</c:v>
                </c:pt>
                <c:pt idx="5">
                  <c:v>0.41270000000000001</c:v>
                </c:pt>
                <c:pt idx="6">
                  <c:v>0.40855555555555556</c:v>
                </c:pt>
                <c:pt idx="7">
                  <c:v>0.39121405750798727</c:v>
                </c:pt>
                <c:pt idx="8">
                  <c:v>0.34430005906674543</c:v>
                </c:pt>
                <c:pt idx="9">
                  <c:v>2.7868852459016391E-3</c:v>
                </c:pt>
                <c:pt idx="10">
                  <c:v>4.761904761904762E-5</c:v>
                </c:pt>
                <c:pt idx="11">
                  <c:v>5.6249999999999998E-5</c:v>
                </c:pt>
                <c:pt idx="12">
                  <c:v>4.7368421052631574E-5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60-A749-A9F4-D92E544C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152319"/>
        <c:axId val="1573821359"/>
      </c:lineChart>
      <c:catAx>
        <c:axId val="156615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21359"/>
        <c:crosses val="autoZero"/>
        <c:auto val="1"/>
        <c:lblAlgn val="ctr"/>
        <c:lblOffset val="100"/>
        <c:noMultiLvlLbl val="0"/>
      </c:catAx>
      <c:valAx>
        <c:axId val="15738213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15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132927</xdr:colOff>
      <xdr:row>43</xdr:row>
      <xdr:rowOff>66765</xdr:rowOff>
    </xdr:from>
    <xdr:to>
      <xdr:col>6</xdr:col>
      <xdr:colOff>89747</xdr:colOff>
      <xdr:row>57</xdr:row>
      <xdr:rowOff>106680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61B35A1-0A83-D94C-A83B-D81447BF9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239485</xdr:colOff>
      <xdr:row>69</xdr:row>
      <xdr:rowOff>76201</xdr:rowOff>
    </xdr:from>
    <xdr:to>
      <xdr:col>15</xdr:col>
      <xdr:colOff>469900</xdr:colOff>
      <xdr:row>95</xdr:row>
      <xdr:rowOff>17541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1AF1CF1-F230-724C-9E19-45C11EF67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95269</xdr:rowOff>
    </xdr:from>
    <xdr:to>
      <xdr:col>6</xdr:col>
      <xdr:colOff>542721</xdr:colOff>
      <xdr:row>82</xdr:row>
      <xdr:rowOff>127200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700B839-1B1A-D142-A080-A5180AD81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782274</xdr:colOff>
      <xdr:row>39</xdr:row>
      <xdr:rowOff>159362</xdr:rowOff>
    </xdr:from>
    <xdr:to>
      <xdr:col>23</xdr:col>
      <xdr:colOff>433483</xdr:colOff>
      <xdr:row>61</xdr:row>
      <xdr:rowOff>165712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4B0781E-0683-BB4C-A6C4-4D9E00202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A51-5194-44A7-A144-D78C37528312}">
  <dimension ref="A1:BS39"/>
  <sheetViews>
    <sheetView topLeftCell="A3" zoomScale="83" workbookViewId="0">
      <selection activeCell="B25" sqref="B25:N25"/>
    </sheetView>
  </sheetViews>
  <sheetFormatPr baseColWidth="10" defaultColWidth="8.83203125" defaultRowHeight="15" x14ac:dyDescent="0.2"/>
  <cols>
    <col min="1" max="1" width="31.33203125" customWidth="1"/>
    <col min="2" max="2" width="10.6640625" bestFit="1" customWidth="1"/>
    <col min="3" max="3" width="11.83203125" bestFit="1" customWidth="1"/>
    <col min="4" max="5" width="10.6640625" bestFit="1" customWidth="1"/>
    <col min="6" max="6" width="16" bestFit="1" customWidth="1"/>
    <col min="7" max="7" width="10.6640625" bestFit="1" customWidth="1"/>
    <col min="8" max="9" width="11.1640625" bestFit="1" customWidth="1"/>
    <col min="10" max="16" width="10.83203125" bestFit="1" customWidth="1"/>
  </cols>
  <sheetData>
    <row r="1" spans="1:27" x14ac:dyDescent="0.2">
      <c r="A1" t="s">
        <v>0</v>
      </c>
    </row>
    <row r="2" spans="1:27" x14ac:dyDescent="0.2">
      <c r="A2" t="s">
        <v>1</v>
      </c>
      <c r="C2" t="s">
        <v>2</v>
      </c>
      <c r="D2">
        <v>2023</v>
      </c>
      <c r="E2">
        <v>2022</v>
      </c>
      <c r="F2">
        <v>2021</v>
      </c>
      <c r="G2">
        <v>2020</v>
      </c>
      <c r="H2">
        <v>2019</v>
      </c>
      <c r="I2">
        <v>2018</v>
      </c>
      <c r="J2">
        <v>2017</v>
      </c>
      <c r="K2">
        <v>2016</v>
      </c>
      <c r="L2">
        <v>2015</v>
      </c>
    </row>
    <row r="3" spans="1:27" x14ac:dyDescent="0.2">
      <c r="A3" t="s">
        <v>3</v>
      </c>
      <c r="C3" t="s">
        <v>4</v>
      </c>
      <c r="D3">
        <v>23800</v>
      </c>
      <c r="E3">
        <v>24081</v>
      </c>
      <c r="F3">
        <v>25021</v>
      </c>
      <c r="G3">
        <v>25762</v>
      </c>
      <c r="H3">
        <v>24097</v>
      </c>
      <c r="I3">
        <v>21277</v>
      </c>
      <c r="J3">
        <v>17391</v>
      </c>
      <c r="K3">
        <v>15130</v>
      </c>
      <c r="L3">
        <v>14380</v>
      </c>
    </row>
    <row r="4" spans="1:27" x14ac:dyDescent="0.2">
      <c r="B4" t="s">
        <v>5</v>
      </c>
      <c r="C4" t="s">
        <v>4</v>
      </c>
      <c r="D4">
        <v>21400</v>
      </c>
      <c r="E4">
        <v>21731</v>
      </c>
      <c r="F4">
        <v>22621</v>
      </c>
      <c r="G4">
        <v>23262</v>
      </c>
      <c r="H4">
        <v>21597</v>
      </c>
      <c r="I4">
        <v>18777</v>
      </c>
      <c r="J4">
        <v>14791</v>
      </c>
      <c r="K4">
        <v>9010</v>
      </c>
      <c r="L4">
        <v>8330</v>
      </c>
    </row>
    <row r="5" spans="1:27" x14ac:dyDescent="0.2">
      <c r="B5" t="s">
        <v>6</v>
      </c>
      <c r="C5" t="s">
        <v>4</v>
      </c>
      <c r="D5">
        <v>2400</v>
      </c>
      <c r="E5">
        <v>2350</v>
      </c>
      <c r="F5">
        <v>2400</v>
      </c>
      <c r="G5">
        <v>2500</v>
      </c>
      <c r="H5">
        <v>2500</v>
      </c>
      <c r="I5">
        <v>2500</v>
      </c>
      <c r="J5">
        <v>2600</v>
      </c>
      <c r="K5">
        <v>6120</v>
      </c>
      <c r="L5">
        <v>6050</v>
      </c>
    </row>
    <row r="6" spans="1:27" x14ac:dyDescent="0.2">
      <c r="A6" t="s">
        <v>7</v>
      </c>
      <c r="C6" t="s">
        <v>4</v>
      </c>
      <c r="D6">
        <v>1448</v>
      </c>
      <c r="E6">
        <v>1375</v>
      </c>
      <c r="F6">
        <v>1348</v>
      </c>
      <c r="G6">
        <v>1230</v>
      </c>
      <c r="H6">
        <v>1199</v>
      </c>
      <c r="I6">
        <v>1110</v>
      </c>
      <c r="J6">
        <v>1065</v>
      </c>
      <c r="K6">
        <v>937</v>
      </c>
      <c r="L6">
        <v>876</v>
      </c>
    </row>
    <row r="7" spans="1:27" x14ac:dyDescent="0.2">
      <c r="A7" s="1" t="s">
        <v>8</v>
      </c>
      <c r="B7" s="1"/>
      <c r="C7" s="1" t="s">
        <v>4</v>
      </c>
      <c r="D7" s="1">
        <v>1900</v>
      </c>
      <c r="E7" s="1">
        <v>1800</v>
      </c>
      <c r="F7" s="1">
        <v>1900</v>
      </c>
      <c r="G7" s="1">
        <v>1600</v>
      </c>
      <c r="H7" s="1">
        <v>1890</v>
      </c>
      <c r="I7" s="1">
        <v>1830</v>
      </c>
      <c r="J7" s="1">
        <v>1693</v>
      </c>
      <c r="K7" s="1">
        <v>1878</v>
      </c>
      <c r="L7" s="1">
        <v>1800</v>
      </c>
    </row>
    <row r="8" spans="1:27" x14ac:dyDescent="0.2">
      <c r="A8" t="s">
        <v>9</v>
      </c>
      <c r="C8" t="s">
        <v>4</v>
      </c>
      <c r="D8">
        <v>6737</v>
      </c>
      <c r="E8">
        <v>6585</v>
      </c>
      <c r="F8">
        <v>6491</v>
      </c>
      <c r="G8">
        <v>5493</v>
      </c>
      <c r="H8">
        <v>5244</v>
      </c>
      <c r="I8">
        <v>4964</v>
      </c>
      <c r="J8">
        <v>5285</v>
      </c>
      <c r="K8">
        <v>4963</v>
      </c>
      <c r="L8">
        <v>4832</v>
      </c>
    </row>
    <row r="9" spans="1:27" x14ac:dyDescent="0.2">
      <c r="A9" t="s">
        <v>10</v>
      </c>
      <c r="C9" t="s">
        <v>4</v>
      </c>
      <c r="D9">
        <v>750</v>
      </c>
      <c r="E9">
        <v>675</v>
      </c>
      <c r="F9">
        <v>640</v>
      </c>
      <c r="G9">
        <v>645</v>
      </c>
      <c r="H9">
        <v>655</v>
      </c>
      <c r="I9">
        <v>680</v>
      </c>
      <c r="J9">
        <v>507</v>
      </c>
      <c r="K9">
        <v>504.8</v>
      </c>
      <c r="L9">
        <v>501.6</v>
      </c>
    </row>
    <row r="10" spans="1:27" x14ac:dyDescent="0.2">
      <c r="A10" t="s">
        <v>11</v>
      </c>
      <c r="B10" t="s">
        <v>12</v>
      </c>
      <c r="C10" t="s">
        <v>13</v>
      </c>
      <c r="D10">
        <v>19000</v>
      </c>
      <c r="E10">
        <v>18800</v>
      </c>
      <c r="F10">
        <v>20200</v>
      </c>
      <c r="G10">
        <v>18500</v>
      </c>
      <c r="H10">
        <v>17100</v>
      </c>
      <c r="I10">
        <v>16550</v>
      </c>
      <c r="J10">
        <v>16370</v>
      </c>
      <c r="K10">
        <v>16055</v>
      </c>
      <c r="L10">
        <v>15274</v>
      </c>
    </row>
    <row r="11" spans="1:27" x14ac:dyDescent="0.2">
      <c r="A11" t="s">
        <v>14</v>
      </c>
      <c r="B11" t="s">
        <v>15</v>
      </c>
      <c r="C11" t="s">
        <v>4</v>
      </c>
      <c r="D11">
        <v>420</v>
      </c>
      <c r="E11">
        <v>415</v>
      </c>
      <c r="F11">
        <v>463</v>
      </c>
      <c r="G11">
        <v>426</v>
      </c>
      <c r="H11">
        <v>390</v>
      </c>
      <c r="I11">
        <v>380</v>
      </c>
      <c r="J11">
        <v>373.5</v>
      </c>
      <c r="K11">
        <v>366</v>
      </c>
      <c r="L11">
        <v>348</v>
      </c>
    </row>
    <row r="12" spans="1:27" x14ac:dyDescent="0.2">
      <c r="A12" t="s">
        <v>16</v>
      </c>
      <c r="B12" t="s">
        <v>12</v>
      </c>
      <c r="C12" t="s">
        <v>13</v>
      </c>
      <c r="D12">
        <v>516</v>
      </c>
      <c r="E12">
        <v>399.1</v>
      </c>
      <c r="F12">
        <v>300.2</v>
      </c>
      <c r="G12">
        <v>239.8</v>
      </c>
      <c r="H12">
        <v>229.5</v>
      </c>
      <c r="I12">
        <v>199.1</v>
      </c>
      <c r="J12">
        <v>174.1</v>
      </c>
      <c r="K12">
        <v>300.60000000000002</v>
      </c>
      <c r="L12">
        <v>277.5</v>
      </c>
    </row>
    <row r="13" spans="1:27" x14ac:dyDescent="0.2">
      <c r="B13" t="s">
        <v>15</v>
      </c>
      <c r="C13" t="s">
        <v>4</v>
      </c>
      <c r="D13">
        <v>1060</v>
      </c>
      <c r="E13">
        <v>820.7</v>
      </c>
      <c r="F13">
        <v>678.5</v>
      </c>
      <c r="G13">
        <v>596.1</v>
      </c>
      <c r="H13">
        <v>546.79999999999995</v>
      </c>
      <c r="I13">
        <v>478.8</v>
      </c>
      <c r="J13">
        <v>453.6</v>
      </c>
      <c r="K13">
        <v>721.3</v>
      </c>
      <c r="L13">
        <v>871.9</v>
      </c>
      <c r="S13">
        <v>2023</v>
      </c>
      <c r="T13">
        <v>2022</v>
      </c>
      <c r="U13">
        <v>2021</v>
      </c>
      <c r="V13">
        <v>2020</v>
      </c>
      <c r="W13">
        <v>2019</v>
      </c>
      <c r="X13">
        <v>2018</v>
      </c>
      <c r="Y13">
        <v>2017</v>
      </c>
      <c r="Z13">
        <v>2016</v>
      </c>
      <c r="AA13">
        <v>2015</v>
      </c>
    </row>
    <row r="14" spans="1:27" x14ac:dyDescent="0.2">
      <c r="A14" t="s">
        <v>17</v>
      </c>
      <c r="C14" t="s">
        <v>4</v>
      </c>
      <c r="D14">
        <v>480</v>
      </c>
      <c r="E14">
        <v>415</v>
      </c>
      <c r="F14">
        <v>475</v>
      </c>
      <c r="G14">
        <v>430</v>
      </c>
      <c r="H14">
        <v>400</v>
      </c>
      <c r="I14">
        <v>380</v>
      </c>
      <c r="J14">
        <v>350</v>
      </c>
      <c r="K14">
        <v>270</v>
      </c>
      <c r="L14">
        <v>260</v>
      </c>
      <c r="S14">
        <v>6664</v>
      </c>
      <c r="T14">
        <v>6911.2</v>
      </c>
      <c r="U14">
        <v>7523.6</v>
      </c>
      <c r="V14">
        <v>5410</v>
      </c>
      <c r="W14">
        <v>4578.3999999999996</v>
      </c>
      <c r="X14">
        <v>3925.4</v>
      </c>
      <c r="Y14">
        <v>3043.4</v>
      </c>
      <c r="Z14">
        <v>2042.6</v>
      </c>
      <c r="AA14">
        <v>1984.4</v>
      </c>
    </row>
    <row r="15" spans="1:27" x14ac:dyDescent="0.2">
      <c r="A15" t="s">
        <v>18</v>
      </c>
      <c r="C15" t="s">
        <v>4</v>
      </c>
      <c r="D15">
        <v>980</v>
      </c>
      <c r="E15">
        <v>850</v>
      </c>
      <c r="F15">
        <v>1005</v>
      </c>
      <c r="G15">
        <v>969</v>
      </c>
      <c r="H15">
        <v>984</v>
      </c>
      <c r="I15">
        <v>1040</v>
      </c>
      <c r="J15">
        <v>1070</v>
      </c>
      <c r="K15">
        <v>860</v>
      </c>
      <c r="L15">
        <v>850</v>
      </c>
      <c r="S15">
        <v>2968.4</v>
      </c>
      <c r="T15">
        <v>2959.7</v>
      </c>
      <c r="U15">
        <v>2878.5</v>
      </c>
      <c r="V15">
        <v>2460</v>
      </c>
      <c r="W15">
        <v>2127.1</v>
      </c>
      <c r="X15">
        <v>2197.8000000000002</v>
      </c>
      <c r="Y15">
        <v>2079</v>
      </c>
      <c r="Z15">
        <v>1829</v>
      </c>
      <c r="AA15">
        <v>1395.6</v>
      </c>
    </row>
    <row r="16" spans="1:27" x14ac:dyDescent="0.2">
      <c r="A16" t="s">
        <v>19</v>
      </c>
      <c r="C16" t="s">
        <v>4</v>
      </c>
      <c r="D16">
        <v>61</v>
      </c>
      <c r="E16">
        <v>51</v>
      </c>
      <c r="F16">
        <v>42</v>
      </c>
      <c r="G16">
        <v>33</v>
      </c>
      <c r="H16">
        <v>23.6</v>
      </c>
      <c r="I16">
        <v>18.899999999999999</v>
      </c>
      <c r="J16">
        <v>17.600000000000001</v>
      </c>
      <c r="K16">
        <v>12</v>
      </c>
      <c r="L16">
        <v>10</v>
      </c>
      <c r="S16" s="1">
        <v>1030</v>
      </c>
      <c r="T16" s="1">
        <v>1050</v>
      </c>
      <c r="U16" s="1">
        <v>1050</v>
      </c>
      <c r="V16" s="1">
        <v>790</v>
      </c>
      <c r="W16" s="1">
        <v>1001.7</v>
      </c>
      <c r="X16" s="1">
        <v>1189.5</v>
      </c>
      <c r="Y16" s="1">
        <v>1081.3</v>
      </c>
      <c r="Z16" s="1">
        <v>957.8</v>
      </c>
      <c r="AA16" s="1">
        <v>810</v>
      </c>
    </row>
    <row r="17" spans="1:71" x14ac:dyDescent="0.2">
      <c r="A17" t="s">
        <v>20</v>
      </c>
      <c r="C17" t="s">
        <v>4</v>
      </c>
      <c r="D17">
        <v>37636</v>
      </c>
      <c r="E17">
        <v>37067.699999999997</v>
      </c>
      <c r="F17">
        <v>38063.5</v>
      </c>
      <c r="G17">
        <v>37184.1</v>
      </c>
      <c r="H17">
        <v>35447.4</v>
      </c>
      <c r="I17">
        <v>32158.7</v>
      </c>
      <c r="J17">
        <v>28205.7</v>
      </c>
      <c r="K17">
        <v>25642.1</v>
      </c>
      <c r="L17">
        <v>24729.5</v>
      </c>
    </row>
    <row r="21" spans="1:71" ht="19" customHeight="1" x14ac:dyDescent="0.2">
      <c r="A21" s="16" t="s">
        <v>44</v>
      </c>
      <c r="B21" s="8">
        <v>2009</v>
      </c>
      <c r="C21" s="3">
        <v>2010</v>
      </c>
      <c r="D21" s="3">
        <v>2011</v>
      </c>
      <c r="E21" s="3">
        <v>2012</v>
      </c>
      <c r="F21" s="3">
        <v>2013</v>
      </c>
      <c r="G21" s="3">
        <v>2014</v>
      </c>
      <c r="H21" s="3">
        <v>2015</v>
      </c>
      <c r="I21" s="3">
        <v>2016</v>
      </c>
      <c r="J21" s="3">
        <v>2017</v>
      </c>
      <c r="K21" s="3">
        <v>2018</v>
      </c>
      <c r="L21" s="3">
        <v>2019</v>
      </c>
      <c r="M21" s="3">
        <v>2020</v>
      </c>
      <c r="N21" s="3">
        <v>2021</v>
      </c>
      <c r="O21" s="3">
        <v>2022</v>
      </c>
      <c r="P21" s="3">
        <v>2023</v>
      </c>
    </row>
    <row r="22" spans="1:71" ht="19" customHeight="1" x14ac:dyDescent="0.2">
      <c r="A22" s="22" t="s">
        <v>49</v>
      </c>
      <c r="B22" s="13">
        <v>66822.027864184798</v>
      </c>
      <c r="C22" s="13">
        <v>70851.000252548329</v>
      </c>
      <c r="D22" s="13">
        <v>73233.143042565192</v>
      </c>
      <c r="E22" s="13">
        <v>75009.539833734452</v>
      </c>
      <c r="F22" s="13">
        <v>78597.150968858128</v>
      </c>
      <c r="G22" s="13">
        <v>79478.38024129915</v>
      </c>
      <c r="H22" s="13">
        <v>79815.101576616114</v>
      </c>
      <c r="I22" s="13">
        <v>76601.834816153612</v>
      </c>
      <c r="J22" s="3"/>
      <c r="K22" s="3"/>
      <c r="L22" s="3"/>
      <c r="M22" s="3"/>
      <c r="N22" s="3"/>
      <c r="O22" s="3"/>
      <c r="P22" s="3"/>
    </row>
    <row r="23" spans="1:71" ht="19" customHeight="1" x14ac:dyDescent="0.2">
      <c r="A23" s="9" t="s">
        <v>38</v>
      </c>
      <c r="B23" s="4">
        <v>1000</v>
      </c>
      <c r="C23" s="4">
        <v>1200</v>
      </c>
      <c r="D23" s="4">
        <v>1350</v>
      </c>
      <c r="E23" s="4">
        <v>1600</v>
      </c>
      <c r="F23" s="4">
        <v>1366</v>
      </c>
      <c r="G23" s="20">
        <f>G27-G25</f>
        <v>1174.5999999999999</v>
      </c>
      <c r="H23" s="20">
        <f t="shared" ref="H23:N23" si="0">H27-H25</f>
        <v>1064.5999999999999</v>
      </c>
      <c r="I23" s="20">
        <f t="shared" si="0"/>
        <v>1143.3</v>
      </c>
      <c r="J23" s="20">
        <f t="shared" si="0"/>
        <v>1110.0999999999999</v>
      </c>
      <c r="K23" s="20">
        <f t="shared" si="0"/>
        <v>1824.9</v>
      </c>
      <c r="L23" s="20">
        <f t="shared" si="0"/>
        <v>1889.91</v>
      </c>
      <c r="M23" s="20">
        <f t="shared" si="0"/>
        <v>1599.91</v>
      </c>
      <c r="N23" s="20">
        <f t="shared" si="0"/>
        <v>1899.91</v>
      </c>
      <c r="O23" s="2"/>
      <c r="P23" s="2"/>
    </row>
    <row r="24" spans="1:71" ht="19" customHeight="1" x14ac:dyDescent="0.2">
      <c r="A24" s="5" t="s">
        <v>36</v>
      </c>
      <c r="B24" s="2"/>
      <c r="C24" s="5">
        <f>C23-B23</f>
        <v>200</v>
      </c>
      <c r="D24" s="5">
        <f t="shared" ref="D24:F24" si="1">D23-C23</f>
        <v>150</v>
      </c>
      <c r="E24" s="5">
        <f t="shared" si="1"/>
        <v>250</v>
      </c>
      <c r="F24" s="5">
        <f t="shared" si="1"/>
        <v>-234</v>
      </c>
      <c r="G24" s="5">
        <f t="shared" ref="G24" si="2">G23-F23</f>
        <v>-191.40000000000009</v>
      </c>
      <c r="H24" s="5">
        <f t="shared" ref="H24" si="3">H23-G23</f>
        <v>-110</v>
      </c>
      <c r="I24" s="5">
        <f t="shared" ref="I24" si="4">I23-H23</f>
        <v>78.700000000000045</v>
      </c>
      <c r="J24" s="5">
        <f t="shared" ref="J24:L24" si="5">J23-I23</f>
        <v>-33.200000000000045</v>
      </c>
      <c r="K24" s="5">
        <f t="shared" si="5"/>
        <v>714.80000000000018</v>
      </c>
      <c r="L24" s="5">
        <f t="shared" si="5"/>
        <v>65.009999999999991</v>
      </c>
      <c r="M24" s="5">
        <f t="shared" ref="M24" si="6">M23-L23</f>
        <v>-290</v>
      </c>
      <c r="N24" s="5">
        <f t="shared" ref="N24" si="7">N23-M23</f>
        <v>300</v>
      </c>
      <c r="O24" s="2"/>
      <c r="P24" s="2"/>
    </row>
    <row r="25" spans="1:71" ht="19" customHeight="1" x14ac:dyDescent="0.2">
      <c r="A25" s="6" t="s">
        <v>39</v>
      </c>
      <c r="B25" s="6">
        <v>732</v>
      </c>
      <c r="C25" s="6">
        <v>801</v>
      </c>
      <c r="D25" s="6">
        <v>838</v>
      </c>
      <c r="E25" s="6">
        <v>888</v>
      </c>
      <c r="F25" s="6">
        <v>788.2</v>
      </c>
      <c r="G25" s="6">
        <v>825.4</v>
      </c>
      <c r="H25" s="6">
        <v>735.4</v>
      </c>
      <c r="I25" s="6">
        <v>734.7</v>
      </c>
      <c r="J25" s="6">
        <v>582.9</v>
      </c>
      <c r="K25" s="6">
        <v>5.0999999999999996</v>
      </c>
      <c r="L25" s="6">
        <v>0.09</v>
      </c>
      <c r="M25" s="6">
        <v>0.09</v>
      </c>
      <c r="N25" s="6">
        <v>0.09</v>
      </c>
      <c r="O25" s="2"/>
      <c r="P25" s="2"/>
    </row>
    <row r="26" spans="1:71" ht="19" customHeight="1" x14ac:dyDescent="0.2">
      <c r="A26" s="5" t="s">
        <v>36</v>
      </c>
      <c r="B26" s="2"/>
      <c r="C26" s="5">
        <f>C25-B25</f>
        <v>69</v>
      </c>
      <c r="D26" s="5">
        <f t="shared" ref="D26:F26" si="8">D25-C25</f>
        <v>37</v>
      </c>
      <c r="E26" s="5">
        <f t="shared" si="8"/>
        <v>50</v>
      </c>
      <c r="F26" s="5">
        <f t="shared" si="8"/>
        <v>-99.799999999999955</v>
      </c>
      <c r="G26" s="5">
        <f t="shared" ref="G26" si="9">G25-F25</f>
        <v>37.199999999999932</v>
      </c>
      <c r="H26" s="5">
        <f t="shared" ref="H26" si="10">H25-G25</f>
        <v>-90</v>
      </c>
      <c r="I26" s="5">
        <f t="shared" ref="I26" si="11">I25-H25</f>
        <v>-0.69999999999993179</v>
      </c>
      <c r="J26" s="5">
        <f t="shared" ref="J26:L26" si="12">J25-I25</f>
        <v>-151.80000000000007</v>
      </c>
      <c r="K26" s="5">
        <f t="shared" si="12"/>
        <v>-577.79999999999995</v>
      </c>
      <c r="L26" s="5">
        <f t="shared" si="12"/>
        <v>-5.01</v>
      </c>
      <c r="M26" s="5">
        <f t="shared" ref="M26" si="13">M25-L25</f>
        <v>0</v>
      </c>
      <c r="N26" s="5">
        <f t="shared" ref="N26" si="14">N25-M25</f>
        <v>0</v>
      </c>
      <c r="O26" s="2"/>
      <c r="P26" s="2"/>
    </row>
    <row r="27" spans="1:71" x14ac:dyDescent="0.2">
      <c r="A27" s="7" t="s">
        <v>40</v>
      </c>
      <c r="B27" s="7">
        <v>1732</v>
      </c>
      <c r="C27" s="7">
        <v>2000</v>
      </c>
      <c r="D27" s="7">
        <v>2188</v>
      </c>
      <c r="E27" s="7">
        <v>2488</v>
      </c>
      <c r="F27" s="7">
        <v>2154</v>
      </c>
      <c r="G27" s="7">
        <v>2000</v>
      </c>
      <c r="H27" s="7">
        <v>1800</v>
      </c>
      <c r="I27" s="7">
        <v>1878</v>
      </c>
      <c r="J27" s="7">
        <v>1693</v>
      </c>
      <c r="K27" s="7">
        <v>1830</v>
      </c>
      <c r="L27" s="7">
        <v>1890</v>
      </c>
      <c r="M27" s="7">
        <v>1600</v>
      </c>
      <c r="N27" s="7">
        <v>1900</v>
      </c>
      <c r="O27" s="7">
        <v>1800</v>
      </c>
      <c r="P27" s="7">
        <v>1900</v>
      </c>
      <c r="AF27">
        <v>1</v>
      </c>
      <c r="AG27">
        <v>199</v>
      </c>
      <c r="AH27">
        <v>3</v>
      </c>
      <c r="AI27" t="s">
        <v>26</v>
      </c>
      <c r="AJ27" t="s">
        <v>25</v>
      </c>
      <c r="AK27">
        <v>1830</v>
      </c>
      <c r="AL27">
        <v>1890</v>
      </c>
      <c r="AM27">
        <v>3.3</v>
      </c>
      <c r="AN27">
        <v>4</v>
      </c>
      <c r="AO27" t="s">
        <v>27</v>
      </c>
      <c r="AP27" t="s">
        <v>25</v>
      </c>
      <c r="AQ27">
        <v>4964</v>
      </c>
      <c r="AR27">
        <v>5244</v>
      </c>
      <c r="AS27">
        <v>5.6</v>
      </c>
      <c r="AT27">
        <v>5</v>
      </c>
      <c r="AU27" t="s">
        <v>28</v>
      </c>
      <c r="AV27" t="s">
        <v>25</v>
      </c>
      <c r="AW27">
        <v>6</v>
      </c>
      <c r="AX27">
        <v>80</v>
      </c>
      <c r="AY27">
        <v>-3.7</v>
      </c>
      <c r="AZ27">
        <v>6</v>
      </c>
      <c r="BA27" t="s">
        <v>29</v>
      </c>
      <c r="BB27" t="s">
        <v>30</v>
      </c>
      <c r="BC27" t="s">
        <v>31</v>
      </c>
      <c r="BD27" t="s">
        <v>32</v>
      </c>
      <c r="BE27">
        <v>16550</v>
      </c>
      <c r="BF27">
        <v>1</v>
      </c>
      <c r="BG27">
        <v>7100</v>
      </c>
      <c r="BH27" t="s">
        <v>33</v>
      </c>
      <c r="BI27" t="s">
        <v>25</v>
      </c>
      <c r="BJ27">
        <v>380</v>
      </c>
      <c r="BK27">
        <v>3</v>
      </c>
      <c r="BL27">
        <v>90</v>
      </c>
      <c r="BM27">
        <v>7</v>
      </c>
      <c r="BN27" t="s">
        <v>34</v>
      </c>
      <c r="BO27" t="s">
        <v>31</v>
      </c>
      <c r="BP27" t="s">
        <v>35</v>
      </c>
      <c r="BQ27">
        <v>199.1</v>
      </c>
      <c r="BR27">
        <v>229.5</v>
      </c>
      <c r="BS27">
        <v>15.3</v>
      </c>
    </row>
    <row r="28" spans="1:71" x14ac:dyDescent="0.2">
      <c r="A28" s="5" t="s">
        <v>36</v>
      </c>
      <c r="B28" s="2"/>
      <c r="C28" s="5">
        <f>C27-B27</f>
        <v>268</v>
      </c>
      <c r="D28" s="5">
        <f t="shared" ref="D28:F28" si="15">D27-C27</f>
        <v>188</v>
      </c>
      <c r="E28" s="5">
        <f t="shared" si="15"/>
        <v>300</v>
      </c>
      <c r="F28" s="5">
        <f t="shared" si="15"/>
        <v>-334</v>
      </c>
      <c r="G28" s="5">
        <f t="shared" ref="G28" si="16">G27-F27</f>
        <v>-154</v>
      </c>
      <c r="H28" s="5">
        <f t="shared" ref="H28" si="17">H27-G27</f>
        <v>-200</v>
      </c>
      <c r="I28" s="5">
        <f t="shared" ref="I28" si="18">I27-H27</f>
        <v>78</v>
      </c>
      <c r="J28" s="5">
        <f t="shared" ref="J28:L28" si="19">J27-I27</f>
        <v>-185</v>
      </c>
      <c r="K28" s="5">
        <f t="shared" si="19"/>
        <v>137</v>
      </c>
      <c r="L28" s="5">
        <f t="shared" si="19"/>
        <v>60</v>
      </c>
      <c r="M28" s="5">
        <f t="shared" ref="M28" si="20">M27-L27</f>
        <v>-290</v>
      </c>
      <c r="N28" s="5">
        <f t="shared" ref="N28" si="21">N27-M27</f>
        <v>300</v>
      </c>
      <c r="O28" s="2"/>
      <c r="P28" s="2"/>
    </row>
    <row r="29" spans="1:71" x14ac:dyDescent="0.2">
      <c r="A29" s="14" t="s">
        <v>37</v>
      </c>
      <c r="B29" s="10"/>
      <c r="C29" s="15">
        <f>-((C24/C26)/(C23/C25))</f>
        <v>-1.9347826086956521</v>
      </c>
      <c r="D29" s="15">
        <f t="shared" ref="D29:J29" si="22">-((D24/D26)/(D23/D25))</f>
        <v>-2.5165165165165169</v>
      </c>
      <c r="E29" s="15">
        <f t="shared" si="22"/>
        <v>-2.7749999999999999</v>
      </c>
      <c r="F29" s="15">
        <f>-((F24/F26)/(F23/F25))</f>
        <v>-1.3529166678892199</v>
      </c>
      <c r="G29" s="15">
        <f t="shared" si="22"/>
        <v>3.6155424221286121</v>
      </c>
      <c r="H29" s="15">
        <f t="shared" si="22"/>
        <v>-0.84428162898950065</v>
      </c>
      <c r="I29" s="15">
        <f t="shared" si="22"/>
        <v>72.24811635491956</v>
      </c>
      <c r="J29" s="15">
        <f t="shared" si="22"/>
        <v>-0.11484134356731039</v>
      </c>
      <c r="K29" s="15">
        <f>-((K24/K26)/(K23/K25))</f>
        <v>3.4573083194874279E-3</v>
      </c>
      <c r="L29" s="15">
        <f>-((L24/L26)/(L23/L25))</f>
        <v>6.1793646860286758E-4</v>
      </c>
      <c r="M29" s="15" t="e">
        <f t="shared" ref="M29:N29" si="23">-((M24/M26)/(M23/M25))</f>
        <v>#DIV/0!</v>
      </c>
      <c r="N29" s="15" t="e">
        <f t="shared" si="23"/>
        <v>#DIV/0!</v>
      </c>
      <c r="O29" s="10"/>
      <c r="P29" s="10"/>
    </row>
    <row r="30" spans="1:71" x14ac:dyDescent="0.2">
      <c r="A30" s="2" t="s">
        <v>41</v>
      </c>
      <c r="B30" s="2"/>
      <c r="C30" s="2"/>
      <c r="D30" s="2"/>
      <c r="E30" s="2"/>
      <c r="F30" s="2"/>
      <c r="G30" s="2"/>
      <c r="H30" s="13">
        <v>810</v>
      </c>
      <c r="I30" s="13">
        <v>957.8</v>
      </c>
      <c r="J30" s="13">
        <v>1081.3</v>
      </c>
      <c r="K30" s="13">
        <v>1189.5</v>
      </c>
      <c r="L30" s="13">
        <v>1001.7</v>
      </c>
      <c r="M30" s="13">
        <v>790</v>
      </c>
      <c r="N30" s="13">
        <v>1050</v>
      </c>
      <c r="O30" s="13">
        <v>1050</v>
      </c>
      <c r="P30" s="13">
        <v>1030</v>
      </c>
    </row>
    <row r="31" spans="1:71" x14ac:dyDescent="0.2">
      <c r="A31" s="2" t="s">
        <v>42</v>
      </c>
      <c r="B31" s="2"/>
      <c r="C31" s="2"/>
      <c r="D31" s="2"/>
      <c r="E31" s="2"/>
      <c r="F31" s="2"/>
      <c r="G31" s="2"/>
      <c r="H31" s="11">
        <f>(H30*1000000000)/(H27*10000)</f>
        <v>45000</v>
      </c>
      <c r="I31" s="11">
        <f t="shared" ref="I31:P31" si="24">(I30*1000000000)/(I27*10000)</f>
        <v>51001.064962726305</v>
      </c>
      <c r="J31" s="11">
        <f t="shared" si="24"/>
        <v>63868.87182516243</v>
      </c>
      <c r="K31" s="11">
        <f t="shared" si="24"/>
        <v>65000</v>
      </c>
      <c r="L31" s="11">
        <f t="shared" si="24"/>
        <v>53000</v>
      </c>
      <c r="M31" s="11">
        <f t="shared" si="24"/>
        <v>49375</v>
      </c>
      <c r="N31" s="11">
        <f t="shared" si="24"/>
        <v>55263.15789473684</v>
      </c>
      <c r="O31" s="11">
        <f t="shared" si="24"/>
        <v>58333.333333333336</v>
      </c>
      <c r="P31" s="11">
        <f t="shared" si="24"/>
        <v>54210.526315789473</v>
      </c>
    </row>
    <row r="32" spans="1:71" x14ac:dyDescent="0.2">
      <c r="A32" s="2" t="s">
        <v>43</v>
      </c>
      <c r="B32" s="2"/>
      <c r="C32" s="2"/>
      <c r="D32" s="2"/>
      <c r="E32" s="2"/>
      <c r="F32" s="2"/>
      <c r="G32" s="2"/>
      <c r="H32" s="12">
        <f>H31*0.13</f>
        <v>5850</v>
      </c>
      <c r="I32" s="12">
        <f t="shared" ref="I32:P32" si="25">I31*0.13</f>
        <v>6630.13844515442</v>
      </c>
      <c r="J32" s="12">
        <f t="shared" si="25"/>
        <v>8302.9533372711157</v>
      </c>
      <c r="K32" s="12">
        <f t="shared" si="25"/>
        <v>8450</v>
      </c>
      <c r="L32" s="12">
        <f t="shared" si="25"/>
        <v>6890</v>
      </c>
      <c r="M32" s="12">
        <f t="shared" si="25"/>
        <v>6418.75</v>
      </c>
      <c r="N32" s="12">
        <f t="shared" si="25"/>
        <v>7184.2105263157891</v>
      </c>
      <c r="O32" s="12">
        <f t="shared" si="25"/>
        <v>7583.3333333333339</v>
      </c>
      <c r="P32" s="12">
        <f t="shared" si="25"/>
        <v>7047.3684210526317</v>
      </c>
    </row>
    <row r="34" spans="1:14" x14ac:dyDescent="0.2">
      <c r="A34" s="19" t="s">
        <v>46</v>
      </c>
      <c r="B34" s="6">
        <v>732</v>
      </c>
      <c r="C34" s="6">
        <v>801</v>
      </c>
      <c r="D34" s="6">
        <v>838</v>
      </c>
      <c r="E34" s="6">
        <v>888</v>
      </c>
      <c r="F34" s="6">
        <v>788</v>
      </c>
    </row>
    <row r="35" spans="1:14" ht="18" x14ac:dyDescent="0.2">
      <c r="A35" s="18" t="s">
        <v>45</v>
      </c>
      <c r="B35">
        <v>360</v>
      </c>
      <c r="C35">
        <v>397</v>
      </c>
      <c r="D35">
        <v>465</v>
      </c>
      <c r="E35">
        <v>452</v>
      </c>
      <c r="F35">
        <v>403</v>
      </c>
    </row>
    <row r="36" spans="1:14" x14ac:dyDescent="0.2">
      <c r="F36" s="17"/>
    </row>
    <row r="37" spans="1:14" x14ac:dyDescent="0.2">
      <c r="B37" s="8">
        <v>2009</v>
      </c>
      <c r="C37" s="3">
        <v>2010</v>
      </c>
      <c r="D37" s="3">
        <v>2011</v>
      </c>
      <c r="E37" s="3">
        <v>2012</v>
      </c>
      <c r="F37" s="3">
        <v>2013</v>
      </c>
      <c r="G37" s="3">
        <v>2014</v>
      </c>
      <c r="H37" s="3">
        <v>2015</v>
      </c>
      <c r="I37" s="3">
        <v>2016</v>
      </c>
      <c r="J37" s="3">
        <v>2017</v>
      </c>
      <c r="K37" s="3">
        <v>2018</v>
      </c>
      <c r="L37" s="3">
        <v>2019</v>
      </c>
      <c r="M37" s="3">
        <v>2020</v>
      </c>
      <c r="N37" s="3">
        <v>2021</v>
      </c>
    </row>
    <row r="38" spans="1:14" x14ac:dyDescent="0.2">
      <c r="A38" t="s">
        <v>47</v>
      </c>
      <c r="B38" s="21">
        <f>B23/B27</f>
        <v>0.57736720554272514</v>
      </c>
      <c r="C38" s="21">
        <f t="shared" ref="C38:N38" si="26">C23/C27</f>
        <v>0.6</v>
      </c>
      <c r="D38" s="21">
        <f t="shared" si="26"/>
        <v>0.61700182815356486</v>
      </c>
      <c r="E38" s="21">
        <f t="shared" si="26"/>
        <v>0.64308681672025725</v>
      </c>
      <c r="F38" s="21">
        <f t="shared" si="26"/>
        <v>0.63416898792943366</v>
      </c>
      <c r="G38" s="21">
        <f t="shared" si="26"/>
        <v>0.58729999999999993</v>
      </c>
      <c r="H38" s="21">
        <f t="shared" si="26"/>
        <v>0.59144444444444444</v>
      </c>
      <c r="I38" s="21">
        <f t="shared" si="26"/>
        <v>0.60878594249201279</v>
      </c>
      <c r="J38" s="21">
        <f t="shared" si="26"/>
        <v>0.65569994093325457</v>
      </c>
      <c r="K38" s="21">
        <f t="shared" si="26"/>
        <v>0.99721311475409846</v>
      </c>
      <c r="L38" s="21">
        <f t="shared" si="26"/>
        <v>0.99995238095238104</v>
      </c>
      <c r="M38" s="21">
        <f t="shared" si="26"/>
        <v>0.99994375000000002</v>
      </c>
      <c r="N38" s="21">
        <f t="shared" si="26"/>
        <v>0.99995263157894743</v>
      </c>
    </row>
    <row r="39" spans="1:14" x14ac:dyDescent="0.2">
      <c r="A39" t="s">
        <v>48</v>
      </c>
      <c r="B39" s="21">
        <f>B25/B27</f>
        <v>0.42263279445727481</v>
      </c>
      <c r="C39" s="21">
        <f t="shared" ref="C39:N39" si="27">C25/C27</f>
        <v>0.40050000000000002</v>
      </c>
      <c r="D39" s="21">
        <f t="shared" si="27"/>
        <v>0.38299817184643509</v>
      </c>
      <c r="E39" s="21">
        <f t="shared" si="27"/>
        <v>0.35691318327974275</v>
      </c>
      <c r="F39" s="21">
        <f t="shared" si="27"/>
        <v>0.36592386258124421</v>
      </c>
      <c r="G39" s="21">
        <f t="shared" si="27"/>
        <v>0.41270000000000001</v>
      </c>
      <c r="H39" s="21">
        <f t="shared" si="27"/>
        <v>0.40855555555555556</v>
      </c>
      <c r="I39" s="21">
        <f t="shared" si="27"/>
        <v>0.39121405750798727</v>
      </c>
      <c r="J39" s="21">
        <f t="shared" si="27"/>
        <v>0.34430005906674543</v>
      </c>
      <c r="K39" s="21">
        <f t="shared" si="27"/>
        <v>2.7868852459016391E-3</v>
      </c>
      <c r="L39" s="21">
        <f t="shared" si="27"/>
        <v>4.761904761904762E-5</v>
      </c>
      <c r="M39" s="21">
        <f t="shared" si="27"/>
        <v>5.6249999999999998E-5</v>
      </c>
      <c r="N39" s="21">
        <f t="shared" si="27"/>
        <v>4.7368421052631574E-5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EEED-DBDA-1D49-900A-F4B3E3BC50EC}">
  <dimension ref="A1:O5"/>
  <sheetViews>
    <sheetView tabSelected="1" workbookViewId="0">
      <selection activeCell="A2" sqref="A2:A3"/>
    </sheetView>
  </sheetViews>
  <sheetFormatPr baseColWidth="10" defaultRowHeight="15" x14ac:dyDescent="0.2"/>
  <cols>
    <col min="1" max="1" width="31.1640625" bestFit="1" customWidth="1"/>
    <col min="2" max="2" width="31.1640625" customWidth="1"/>
  </cols>
  <sheetData>
    <row r="1" spans="1:15" x14ac:dyDescent="0.2">
      <c r="A1" t="s">
        <v>50</v>
      </c>
      <c r="B1" t="s">
        <v>53</v>
      </c>
      <c r="C1" s="8">
        <v>2009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</row>
    <row r="2" spans="1:15" x14ac:dyDescent="0.2">
      <c r="A2" s="9" t="s">
        <v>38</v>
      </c>
      <c r="B2" t="s">
        <v>51</v>
      </c>
      <c r="C2" s="21">
        <v>0.57736720554272514</v>
      </c>
      <c r="D2" s="21">
        <v>0.6</v>
      </c>
      <c r="E2" s="21">
        <v>0.61700182815356486</v>
      </c>
      <c r="F2" s="21">
        <v>0.64308681672025725</v>
      </c>
      <c r="G2" s="21">
        <v>0.63416898792943366</v>
      </c>
      <c r="H2" s="21">
        <v>0.58729999999999993</v>
      </c>
      <c r="I2" s="21">
        <v>0.59144444444444444</v>
      </c>
      <c r="J2" s="21">
        <v>0.60878594249201279</v>
      </c>
      <c r="K2" s="21">
        <v>0.65569994093325457</v>
      </c>
      <c r="L2" s="21">
        <v>0.99721311475409846</v>
      </c>
      <c r="M2" s="21">
        <v>0.99995238095238104</v>
      </c>
      <c r="N2" s="21">
        <v>0.99994375000000002</v>
      </c>
      <c r="O2" s="21">
        <v>0.99995263157894743</v>
      </c>
    </row>
    <row r="3" spans="1:15" x14ac:dyDescent="0.2">
      <c r="A3" s="6" t="s">
        <v>39</v>
      </c>
      <c r="B3" t="s">
        <v>51</v>
      </c>
      <c r="C3" s="21">
        <v>0.42263279445727481</v>
      </c>
      <c r="D3" s="21">
        <v>0.40050000000000002</v>
      </c>
      <c r="E3" s="21">
        <v>0.38299817184643509</v>
      </c>
      <c r="F3" s="21">
        <v>0.35691318327974275</v>
      </c>
      <c r="G3" s="21">
        <v>0.36592386258124421</v>
      </c>
      <c r="H3" s="21">
        <v>0.41270000000000001</v>
      </c>
      <c r="I3" s="21">
        <v>0.40855555555555556</v>
      </c>
      <c r="J3" s="21">
        <v>0.39121405750798727</v>
      </c>
      <c r="K3" s="21">
        <v>0.34430005906674543</v>
      </c>
      <c r="L3" s="21">
        <v>2.7868852459016391E-3</v>
      </c>
      <c r="M3" s="21">
        <v>4.761904761904762E-5</v>
      </c>
      <c r="N3" s="21">
        <v>5.6249999999999998E-5</v>
      </c>
      <c r="O3" s="21">
        <v>4.7368421052631574E-5</v>
      </c>
    </row>
    <row r="4" spans="1:15" x14ac:dyDescent="0.2">
      <c r="A4" s="9" t="s">
        <v>38</v>
      </c>
      <c r="B4" s="9" t="s">
        <v>52</v>
      </c>
      <c r="C4" s="4">
        <v>1000</v>
      </c>
      <c r="D4" s="4">
        <v>1200</v>
      </c>
      <c r="E4" s="4">
        <v>1350</v>
      </c>
      <c r="F4" s="4">
        <v>1600</v>
      </c>
      <c r="G4" s="4">
        <v>1366</v>
      </c>
      <c r="H4" s="20">
        <v>1174.5999999999999</v>
      </c>
      <c r="I4" s="20">
        <v>1064.5999999999999</v>
      </c>
      <c r="J4" s="20">
        <v>1143.3</v>
      </c>
      <c r="K4" s="20">
        <v>1110.0999999999999</v>
      </c>
      <c r="L4" s="20">
        <v>1824.9</v>
      </c>
      <c r="M4" s="20">
        <v>1889.91</v>
      </c>
      <c r="N4" s="20">
        <v>1599.91</v>
      </c>
      <c r="O4" s="20">
        <v>1899.91</v>
      </c>
    </row>
    <row r="5" spans="1:15" x14ac:dyDescent="0.2">
      <c r="A5" s="6" t="s">
        <v>39</v>
      </c>
      <c r="B5" s="6" t="s">
        <v>52</v>
      </c>
      <c r="C5" s="6">
        <v>732</v>
      </c>
      <c r="D5" s="6">
        <v>801</v>
      </c>
      <c r="E5" s="6">
        <v>838</v>
      </c>
      <c r="F5" s="6">
        <v>888</v>
      </c>
      <c r="G5" s="6">
        <v>788.2</v>
      </c>
      <c r="H5" s="6">
        <v>825.4</v>
      </c>
      <c r="I5" s="6">
        <v>735.4</v>
      </c>
      <c r="J5" s="6">
        <v>734.7</v>
      </c>
      <c r="K5" s="6">
        <v>582.9</v>
      </c>
      <c r="L5" s="6">
        <v>5.0999999999999996</v>
      </c>
      <c r="M5" s="6">
        <v>0.09</v>
      </c>
      <c r="N5" s="6">
        <v>0.09</v>
      </c>
      <c r="O5" s="6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7485-3A7F-417B-AF04-B2F376FBBD0A}">
  <dimension ref="A1:J14"/>
  <sheetViews>
    <sheetView workbookViewId="0">
      <selection activeCell="B22" sqref="B22"/>
    </sheetView>
  </sheetViews>
  <sheetFormatPr baseColWidth="10" defaultColWidth="8.83203125" defaultRowHeight="15" x14ac:dyDescent="0.2"/>
  <cols>
    <col min="1" max="1" width="66" bestFit="1" customWidth="1"/>
  </cols>
  <sheetData>
    <row r="1" spans="1:10" x14ac:dyDescent="0.2">
      <c r="A1" t="s">
        <v>21</v>
      </c>
    </row>
    <row r="2" spans="1:10" x14ac:dyDescent="0.2">
      <c r="A2" t="s">
        <v>22</v>
      </c>
    </row>
    <row r="3" spans="1:10" x14ac:dyDescent="0.2">
      <c r="A3" t="s">
        <v>1</v>
      </c>
      <c r="B3">
        <v>2023</v>
      </c>
      <c r="C3">
        <v>2022</v>
      </c>
      <c r="D3">
        <v>2021</v>
      </c>
      <c r="E3">
        <v>2020</v>
      </c>
      <c r="F3">
        <v>2019</v>
      </c>
      <c r="G3">
        <v>2018</v>
      </c>
      <c r="H3">
        <v>2017</v>
      </c>
      <c r="I3">
        <v>2016</v>
      </c>
      <c r="J3">
        <v>2015</v>
      </c>
    </row>
    <row r="4" spans="1:10" x14ac:dyDescent="0.2">
      <c r="A4" t="s">
        <v>3</v>
      </c>
      <c r="B4">
        <v>6664</v>
      </c>
      <c r="C4">
        <v>6911.2</v>
      </c>
      <c r="D4">
        <v>7523.6</v>
      </c>
      <c r="E4">
        <v>5410</v>
      </c>
      <c r="F4">
        <v>4578.3999999999996</v>
      </c>
      <c r="G4">
        <v>3925.4</v>
      </c>
      <c r="H4">
        <v>3043.4</v>
      </c>
      <c r="I4">
        <v>2042.6</v>
      </c>
      <c r="J4">
        <v>1984.4</v>
      </c>
    </row>
    <row r="5" spans="1:10" x14ac:dyDescent="0.2">
      <c r="A5" t="s">
        <v>7</v>
      </c>
      <c r="B5">
        <v>2968.4</v>
      </c>
      <c r="C5">
        <v>2959.7</v>
      </c>
      <c r="D5">
        <v>2878.5</v>
      </c>
      <c r="E5">
        <v>2460</v>
      </c>
      <c r="F5">
        <v>2127.1</v>
      </c>
      <c r="G5">
        <v>2197.8000000000002</v>
      </c>
      <c r="H5">
        <v>2079</v>
      </c>
      <c r="I5">
        <v>1829</v>
      </c>
      <c r="J5">
        <v>1395.6</v>
      </c>
    </row>
    <row r="6" spans="1:10" x14ac:dyDescent="0.2">
      <c r="A6" s="1" t="s">
        <v>8</v>
      </c>
      <c r="B6" s="1">
        <v>1030</v>
      </c>
      <c r="C6" s="1">
        <v>1050</v>
      </c>
      <c r="D6" s="1">
        <v>1050</v>
      </c>
      <c r="E6" s="1">
        <v>790</v>
      </c>
      <c r="F6" s="1">
        <v>1001.7</v>
      </c>
      <c r="G6" s="1">
        <v>1189.5</v>
      </c>
      <c r="H6" s="1">
        <v>1081.3</v>
      </c>
      <c r="I6" s="1">
        <v>957.8</v>
      </c>
      <c r="J6" s="1">
        <v>810</v>
      </c>
    </row>
    <row r="7" spans="1:10" x14ac:dyDescent="0.2">
      <c r="A7" t="s">
        <v>9</v>
      </c>
      <c r="B7">
        <v>1347.4</v>
      </c>
      <c r="C7">
        <v>1402.6</v>
      </c>
      <c r="D7">
        <v>1493</v>
      </c>
      <c r="E7">
        <v>961.3</v>
      </c>
      <c r="F7">
        <v>865.3</v>
      </c>
      <c r="G7">
        <v>970.2</v>
      </c>
      <c r="H7">
        <v>977.7</v>
      </c>
      <c r="I7">
        <v>744.5</v>
      </c>
      <c r="J7">
        <v>642.70000000000005</v>
      </c>
    </row>
    <row r="8" spans="1:10" x14ac:dyDescent="0.2">
      <c r="A8" t="s">
        <v>10</v>
      </c>
      <c r="B8">
        <v>120</v>
      </c>
      <c r="C8">
        <v>101.3</v>
      </c>
      <c r="D8">
        <v>76.8</v>
      </c>
      <c r="E8">
        <v>64.5</v>
      </c>
      <c r="F8">
        <v>59</v>
      </c>
      <c r="G8">
        <v>54.4</v>
      </c>
      <c r="H8">
        <v>73.5</v>
      </c>
      <c r="I8">
        <v>70.5</v>
      </c>
      <c r="J8">
        <v>65.099999999999994</v>
      </c>
    </row>
    <row r="9" spans="1:10" x14ac:dyDescent="0.2">
      <c r="A9" t="s">
        <v>23</v>
      </c>
      <c r="B9">
        <v>231</v>
      </c>
      <c r="C9">
        <v>227.4</v>
      </c>
      <c r="D9">
        <v>222.4</v>
      </c>
      <c r="E9">
        <v>155.5</v>
      </c>
      <c r="F9">
        <v>128.69999999999999</v>
      </c>
      <c r="G9">
        <v>133</v>
      </c>
      <c r="H9">
        <v>125.1</v>
      </c>
      <c r="I9">
        <v>94.4</v>
      </c>
      <c r="J9">
        <v>78.3</v>
      </c>
    </row>
    <row r="10" spans="1:10" x14ac:dyDescent="0.2">
      <c r="A10" t="s">
        <v>16</v>
      </c>
      <c r="B10">
        <v>413.4</v>
      </c>
      <c r="C10">
        <v>311.89999999999998</v>
      </c>
      <c r="D10">
        <v>276.89999999999998</v>
      </c>
      <c r="E10">
        <v>170.5</v>
      </c>
      <c r="F10">
        <v>146.80000000000001</v>
      </c>
      <c r="G10">
        <v>119.5</v>
      </c>
      <c r="H10">
        <v>87.3</v>
      </c>
      <c r="I10">
        <v>108.2</v>
      </c>
      <c r="J10">
        <v>122.1</v>
      </c>
    </row>
    <row r="11" spans="1:10" x14ac:dyDescent="0.2">
      <c r="A11" t="s">
        <v>17</v>
      </c>
      <c r="B11">
        <v>19.2</v>
      </c>
      <c r="C11">
        <v>16.600000000000001</v>
      </c>
      <c r="D11">
        <v>26.1</v>
      </c>
      <c r="E11">
        <v>21.5</v>
      </c>
      <c r="F11">
        <v>18</v>
      </c>
      <c r="G11">
        <v>15.9</v>
      </c>
      <c r="H11">
        <v>14</v>
      </c>
      <c r="I11">
        <v>8.6</v>
      </c>
      <c r="J11">
        <v>7.54</v>
      </c>
    </row>
    <row r="12" spans="1:10" x14ac:dyDescent="0.2">
      <c r="A12" t="s">
        <v>18</v>
      </c>
      <c r="B12">
        <v>49</v>
      </c>
      <c r="C12">
        <v>38.299999999999997</v>
      </c>
      <c r="D12">
        <v>48</v>
      </c>
      <c r="E12">
        <v>41.7</v>
      </c>
      <c r="F12">
        <v>39.4</v>
      </c>
      <c r="G12">
        <v>36.4</v>
      </c>
      <c r="H12">
        <v>32.1</v>
      </c>
      <c r="I12">
        <v>22.4</v>
      </c>
      <c r="J12">
        <v>21.3</v>
      </c>
    </row>
    <row r="13" spans="1:10" x14ac:dyDescent="0.2">
      <c r="A13" t="s">
        <v>19</v>
      </c>
      <c r="B13">
        <v>146.4</v>
      </c>
      <c r="C13">
        <v>121.6</v>
      </c>
      <c r="D13">
        <v>99.7</v>
      </c>
      <c r="E13">
        <v>61.7</v>
      </c>
      <c r="F13">
        <v>39.4</v>
      </c>
      <c r="G13">
        <v>42.1</v>
      </c>
      <c r="H13">
        <v>37.299999999999997</v>
      </c>
      <c r="I13">
        <v>24.8</v>
      </c>
      <c r="J13">
        <v>18.5</v>
      </c>
    </row>
    <row r="14" spans="1:10" x14ac:dyDescent="0.2">
      <c r="A14" t="s">
        <v>24</v>
      </c>
      <c r="B14">
        <v>12988.8</v>
      </c>
      <c r="C14">
        <v>13140.5</v>
      </c>
      <c r="D14">
        <v>13695</v>
      </c>
      <c r="E14">
        <v>10136.700000000001</v>
      </c>
      <c r="F14">
        <v>9003.7999999999993</v>
      </c>
      <c r="G14">
        <v>8684.2000000000007</v>
      </c>
      <c r="H14">
        <v>7550.7</v>
      </c>
      <c r="I14">
        <v>5902.8</v>
      </c>
      <c r="J14">
        <v>5145.54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recyling quantity</vt:lpstr>
      <vt:lpstr>Sheet1</vt:lpstr>
      <vt:lpstr>recyling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ROUHAN SONG</dc:creator>
  <cp:lastModifiedBy>Luis Sarmiento</cp:lastModifiedBy>
  <dcterms:created xsi:type="dcterms:W3CDTF">2024-10-22T10:57:51Z</dcterms:created>
  <dcterms:modified xsi:type="dcterms:W3CDTF">2024-11-05T17:18:50Z</dcterms:modified>
</cp:coreProperties>
</file>